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_preprocessing" sheetId="1" state="visible" r:id="rId3"/>
    <sheet name="2_JAGS_setup_initialization" sheetId="2" state="visible" r:id="rId4"/>
    <sheet name="3_JAGS_run_estimation" sheetId="3" state="visible" r:id="rId5"/>
    <sheet name="4_predictive_validity" sheetId="4" state="visible" r:id="rId6"/>
    <sheet name="5_k_fold_validation" sheetId="5" state="visible" r:id="rId7"/>
    <sheet name="6_analysis_visualization" sheetId="6" state="visible" r:id="rId8"/>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<sst xmlns="http://schemas.openxmlformats.org/spreadsheetml/2006/main" count="164" uniqueCount="108">
  <si>
    <t xml:space="preserve">ID</t>
  </si>
  <si>
    <t xml:space="preserve">Object</t>
  </si>
  <si>
    <t xml:space="preserve">Type</t>
  </si>
  <si>
    <t xml:space="preserve">Description</t>
  </si>
  <si>
    <t xml:space="preserve">subject_dirs</t>
  </si>
  <si>
    <t xml:space="preserve">vector; chr</t>
  </si>
  <si>
    <t xml:space="preserve">Vector containing paths to subject-specific directories. Subject directories are expected in ‘data’ directory, which is one level above working directory.</t>
  </si>
  <si>
    <t xml:space="preserve">subject_dirs_rel</t>
  </si>
  <si>
    <t xml:space="preserve">Contains just the subject labels. Example: “sub-e01”.</t>
  </si>
  <si>
    <t xml:space="preserve">datasets</t>
  </si>
  <si>
    <t xml:space="preserve">list</t>
  </si>
  <si>
    <t xml:space="preserve">A list containing subject specific dataframes. Each dataframe is created by importing the behavioral data collected during MRI (found in “data/subject-xxx/mri_runs_behavioral) </t>
  </si>
  <si>
    <t xml:space="preserve">sub_all_data</t>
  </si>
  <si>
    <t xml:space="preserve">dataframe</t>
  </si>
  <si>
    <t xml:space="preserve">Subject-specific dataframe containing behavioral data collected during MRI. Stored with dataframes from other subjects into the list ‘datasets’. See xx for more information.</t>
  </si>
  <si>
    <t xml:space="preserve">matrices</t>
  </si>
  <si>
    <r>
      <rPr>
        <sz val="10"/>
        <rFont val="Arial"/>
        <family val="2"/>
      </rPr>
      <t xml:space="preserve">Contains preprocessed datasets (sourced from ‘</t>
    </r>
    <r>
      <rPr>
        <i val="true"/>
        <sz val="10"/>
        <rFont val="Arial"/>
        <family val="2"/>
      </rPr>
      <t xml:space="preserve">sub_all_data</t>
    </r>
    <r>
      <rPr>
        <sz val="10"/>
        <rFont val="Arial"/>
        <family val="2"/>
      </rPr>
      <t xml:space="preserve">’) which are specific to each subject. Preprocessing is necessary to make the data work with JAGS. The datasets are transformed to two types of matrices, see ‘jags_functions.R’ sheet for more information. Each matrix has 36 rows and 36 columns, belonging to the 36 paintings. Each cell represents a pair of paintings which are considered together during a trial of the 1-back MRI task. Cell values represent the amount of preferences for a specific painting in a pair, or the total number of pairings depending on which matrix type you look at. For example, if the cell belonging to painting 5 (row) and painting 13 (column) has the value 3, it means (depending on the matrix type) that painting 5 was preferred 3 times over painting 13, or that the pairing has occurred 3 times in total. </t>
    </r>
  </si>
  <si>
    <t xml:space="preserve">true_ranks_subs</t>
  </si>
  <si>
    <r>
      <rPr>
        <sz val="10"/>
        <rFont val="Arial"/>
        <family val="2"/>
      </rPr>
      <t xml:space="preserve">Contains for each subject another list (which contains </t>
    </r>
    <r>
      <rPr>
        <i val="true"/>
        <sz val="10"/>
        <rFont val="Arial"/>
        <family val="2"/>
      </rPr>
      <t xml:space="preserve">‘ranking_data’ </t>
    </r>
    <r>
      <rPr>
        <sz val="10"/>
        <rFont val="Arial"/>
        <family val="2"/>
      </rPr>
      <t xml:space="preserve">and</t>
    </r>
    <r>
      <rPr>
        <i val="true"/>
        <sz val="10"/>
        <rFont val="Arial"/>
        <family val="2"/>
      </rPr>
      <t xml:space="preserve"> ‘ranking_vector’). </t>
    </r>
    <r>
      <rPr>
        <sz val="10"/>
        <rFont val="Arial"/>
        <family val="2"/>
      </rPr>
      <t xml:space="preserve">These hold the final ranking data sourced from the post_mri_ranking.csv file. </t>
    </r>
  </si>
  <si>
    <t xml:space="preserve">ratings</t>
  </si>
  <si>
    <t xml:space="preserve">Contains subject-specific pre-mri liking scores for each painting. </t>
  </si>
  <si>
    <t xml:space="preserve">true_ranks_vec</t>
  </si>
  <si>
    <t xml:space="preserve">vector; int</t>
  </si>
  <si>
    <t xml:space="preserve">Contains the ranking information of the paintings. Values are painting ID’s which are ordered by ranking (first in the vector means rank 1, second value is rank 2 etc.)</t>
  </si>
  <si>
    <t xml:space="preserve">ranking_data</t>
  </si>
  <si>
    <r>
      <rPr>
        <sz val="10"/>
        <rFont val="Arial"/>
        <family val="2"/>
      </rPr>
      <t xml:space="preserve">Same data as ‘</t>
    </r>
    <r>
      <rPr>
        <i val="true"/>
        <sz val="10"/>
        <rFont val="Arial"/>
        <family val="2"/>
      </rPr>
      <t xml:space="preserve">true_ranks_vec’ </t>
    </r>
    <r>
      <rPr>
        <sz val="10"/>
        <rFont val="Arial"/>
        <family val="2"/>
      </rPr>
      <t xml:space="preserve">but structured in organized fashion. Has columns ‘ID’ and ‘Ranking’, which are respectively: Painting ID and corresponding ranking. </t>
    </r>
  </si>
  <si>
    <t xml:space="preserve">modelString</t>
  </si>
  <si>
    <t xml:space="preserve">chr</t>
  </si>
  <si>
    <t xml:space="preserve">Specifies the JAGS model, as outlined in the manuscript. This will be written to a .txtfile in the ‘models’ directory. Later on it will be read by JAGS.</t>
  </si>
  <si>
    <t xml:space="preserve">nChains</t>
  </si>
  <si>
    <t xml:space="preserve">int</t>
  </si>
  <si>
    <t xml:space="preserve">Number of Markov chains to be employed by the JAGS model. </t>
  </si>
  <si>
    <t xml:space="preserve">inits</t>
  </si>
  <si>
    <r>
      <rPr>
        <sz val="10"/>
        <rFont val="Arial"/>
        <family val="2"/>
      </rPr>
      <t xml:space="preserve">Contains a number of lists, as much as nChains. Each inner list contains random initial values for the </t>
    </r>
    <r>
      <rPr>
        <i val="true"/>
        <sz val="10"/>
        <rFont val="Arial"/>
        <family val="2"/>
      </rPr>
      <t xml:space="preserve">mu </t>
    </r>
    <r>
      <rPr>
        <sz val="10"/>
        <rFont val="Arial"/>
        <family val="2"/>
      </rPr>
      <t xml:space="preserve">and </t>
    </r>
    <r>
      <rPr>
        <i val="true"/>
        <sz val="10"/>
        <rFont val="Arial"/>
        <family val="2"/>
      </rPr>
      <t xml:space="preserve">kappa </t>
    </r>
    <r>
      <rPr>
        <sz val="10"/>
        <rFont val="Arial"/>
        <family val="2"/>
      </rPr>
      <t xml:space="preserve">parameters for a specific chain. </t>
    </r>
  </si>
  <si>
    <t xml:space="preserve">jags_output_subs</t>
  </si>
  <si>
    <t xml:space="preserve">Contains the JAGS model output of each subject.</t>
  </si>
  <si>
    <t xml:space="preserve">M_pref</t>
  </si>
  <si>
    <t xml:space="preserve">matrix</t>
  </si>
  <si>
    <t xml:space="preserve">Matrix containing preference responses of a specific subject. Rows and columns indicate paintings 1 – 36. Each cell represents a pair of paintings which are considered together during a trial of the 1-back MRI task. Cell values represent the amount of preferences for a specific painting in a pair, which is the row value. For example, if the cell belonging to painting 5 (row) and painting 13 (column) has the value 3, it means that painting 5 was preferred 3 times over painting 13. Conversely, if painting 13 was preferred over 5, row 13 and column 5 increases in value. </t>
  </si>
  <si>
    <t xml:space="preserve">M_n</t>
  </si>
  <si>
    <r>
      <rPr>
        <sz val="10"/>
        <rFont val="Arial"/>
        <family val="2"/>
      </rPr>
      <t xml:space="preserve">Similar to </t>
    </r>
    <r>
      <rPr>
        <i val="true"/>
        <sz val="10"/>
        <rFont val="Arial"/>
        <family val="2"/>
      </rPr>
      <t xml:space="preserve">M_pref </t>
    </r>
    <r>
      <rPr>
        <sz val="10"/>
        <rFont val="Arial"/>
        <family val="2"/>
      </rPr>
      <t xml:space="preserve">other than that cell values are the total number of presentations of that specific pair of paintings.</t>
    </r>
  </si>
  <si>
    <t xml:space="preserve">dataList</t>
  </si>
  <si>
    <t xml:space="preserve">List which specifies the input data for the JAGS model in a way that the model can read it. </t>
  </si>
  <si>
    <t xml:space="preserve">pars</t>
  </si>
  <si>
    <t xml:space="preserve">Parameter to monitor in JAGS model output. </t>
  </si>
  <si>
    <t xml:space="preserve">samples</t>
  </si>
  <si>
    <t xml:space="preserve">Number of samples per chain.</t>
  </si>
  <si>
    <t xml:space="preserve">burnin</t>
  </si>
  <si>
    <t xml:space="preserve">Burning period of JAGS model</t>
  </si>
  <si>
    <t xml:space="preserve">nAdapt</t>
  </si>
  <si>
    <t xml:space="preserve">Number of adapting samples of JAGS model. </t>
  </si>
  <si>
    <t xml:space="preserve">output</t>
  </si>
  <si>
    <t xml:space="preserve">runjags object</t>
  </si>
  <si>
    <t xml:space="preserve">JAGS model output for specific subject.</t>
  </si>
  <si>
    <t xml:space="preserve">subs_validity</t>
  </si>
  <si>
    <t xml:space="preserve">Contains a list per subject which stores the Highest Density Interval upper and lower bounds of the JAGS sample correlations with the final ranking data (posterior distribution of predictive validity). Also stores the median value. </t>
  </si>
  <si>
    <t xml:space="preserve">cor_samples_df</t>
  </si>
  <si>
    <t xml:space="preserve">For each subject it stores the correlation between the JAGS model samples and the final ranking data. Each sample from JAGS contains a latent liking score for each painting. These values are rank-transformed in order to correlate them with the final ranking data. </t>
  </si>
  <si>
    <t xml:space="preserve">liking_stages_df</t>
  </si>
  <si>
    <t xml:space="preserve">Contains for each subject an overview of each painting’s pre-mri liking score, latent liking score, and post-mri ranking score. Is later used to check the correlation between each score. </t>
  </si>
  <si>
    <t xml:space="preserve">subject_df</t>
  </si>
  <si>
    <r>
      <rPr>
        <sz val="10"/>
        <rFont val="Arial"/>
        <family val="2"/>
      </rPr>
      <t xml:space="preserve">A subject-specific dataframe containing each paintings liking score, across all stages. This is used to write the information away to a file called </t>
    </r>
    <r>
      <rPr>
        <i val="true"/>
        <sz val="10"/>
        <rFont val="Arial"/>
        <family val="2"/>
      </rPr>
      <t xml:space="preserve">"liking_three_stages.xlsx".</t>
    </r>
  </si>
  <si>
    <t xml:space="preserve">HDI_data</t>
  </si>
  <si>
    <t xml:space="preserve">Contains the upper and lower bound of the Highest Density Interval (or 95% Credibile Interval) as well as the median value for a particular subject’s posterior distribution. </t>
  </si>
  <si>
    <t xml:space="preserve">k</t>
  </si>
  <si>
    <t xml:space="preserve">Specifies the number of folds to use in k-fold validation. Default = 10</t>
  </si>
  <si>
    <t xml:space="preserve">acc_mat</t>
  </si>
  <si>
    <t xml:space="preserve">Stores the model prediction accuracy for each subject, across all folds.</t>
  </si>
  <si>
    <t xml:space="preserve">data</t>
  </si>
  <si>
    <r>
      <rPr>
        <sz val="10"/>
        <rFont val="Arial"/>
        <family val="2"/>
      </rPr>
      <t xml:space="preserve">Contains two subdivisions of a subject’s behavioral data: one set for training the model </t>
    </r>
    <r>
      <rPr>
        <i val="true"/>
        <sz val="10"/>
        <rFont val="Arial"/>
        <family val="2"/>
      </rPr>
      <t xml:space="preserve">(trainset)</t>
    </r>
    <r>
      <rPr>
        <sz val="10"/>
        <rFont val="Arial"/>
        <family val="2"/>
      </rPr>
      <t xml:space="preserve">, the other for testing it (fold; </t>
    </r>
    <r>
      <rPr>
        <i val="true"/>
        <sz val="10"/>
        <rFont val="Arial"/>
        <family val="2"/>
      </rPr>
      <t xml:space="preserve">testset</t>
    </r>
    <r>
      <rPr>
        <sz val="10"/>
        <rFont val="Arial"/>
        <family val="2"/>
      </rPr>
      <t xml:space="preserve">). </t>
    </r>
  </si>
  <si>
    <t xml:space="preserve">trainset</t>
  </si>
  <si>
    <r>
      <rPr>
        <sz val="10"/>
        <rFont val="Arial"/>
        <family val="2"/>
      </rPr>
      <t xml:space="preserve">See </t>
    </r>
    <r>
      <rPr>
        <i val="true"/>
        <sz val="10"/>
        <rFont val="Arial"/>
        <family val="2"/>
      </rPr>
      <t xml:space="preserve">data</t>
    </r>
  </si>
  <si>
    <t xml:space="preserve">testset</t>
  </si>
  <si>
    <t xml:space="preserve">latent_liking</t>
  </si>
  <si>
    <t xml:space="preserve">vector; float</t>
  </si>
  <si>
    <t xml:space="preserve">A subject’s latent liking scores. Is used to predict behavioral responses. </t>
  </si>
  <si>
    <t xml:space="preserve">preds_df</t>
  </si>
  <si>
    <t xml:space="preserve">Contains behavioral data as well as the predicted response. </t>
  </si>
  <si>
    <t xml:space="preserve">conf_mat</t>
  </si>
  <si>
    <t xml:space="preserve">Contains data on the model’s classification performance. Most importantly, it stores the model’s accuracy in predicting the behavioral responses. </t>
  </si>
  <si>
    <t xml:space="preserve">df_k_fold_acc</t>
  </si>
  <si>
    <r>
      <rPr>
        <sz val="10"/>
        <rFont val="Arial"/>
        <family val="2"/>
      </rPr>
      <t xml:space="preserve">Contains the model prediction accuracy across all subjects and folds. Stored as “</t>
    </r>
    <r>
      <rPr>
        <i val="true"/>
        <sz val="10"/>
        <rFont val="Arial"/>
        <family val="2"/>
      </rPr>
      <t xml:space="preserve">k_fold_val_df.RData”</t>
    </r>
    <r>
      <rPr>
        <sz val="10"/>
        <rFont val="Arial"/>
        <family val="2"/>
      </rPr>
      <t xml:space="preserve"> </t>
    </r>
  </si>
  <si>
    <t xml:space="preserve">ranked_df</t>
  </si>
  <si>
    <r>
      <rPr>
        <sz val="10"/>
        <rFont val="Arial"/>
        <family val="2"/>
      </rPr>
      <t xml:space="preserve">Similar to </t>
    </r>
    <r>
      <rPr>
        <i val="true"/>
        <sz val="10"/>
        <rFont val="Arial"/>
        <family val="2"/>
      </rPr>
      <t xml:space="preserve">liking_stages_df, </t>
    </r>
    <r>
      <rPr>
        <sz val="10"/>
        <rFont val="Arial"/>
        <family val="2"/>
      </rPr>
      <t xml:space="preserve">but with rank-transformed values. Used to calculate the spearman correlation between stages of the experiment.</t>
    </r>
  </si>
  <si>
    <t xml:space="preserve">cor_rat_ranked</t>
  </si>
  <si>
    <r>
      <rPr>
        <sz val="10"/>
        <rFont val="Arial"/>
        <family val="2"/>
      </rPr>
      <t xml:space="preserve">Result of cor.test(), containing the spearman correlation between (rank-transformed) pre-mri liking scores and post-mri ranking scores. Also stores the </t>
    </r>
    <r>
      <rPr>
        <i val="true"/>
        <sz val="10"/>
        <rFont val="Arial"/>
        <family val="2"/>
      </rPr>
      <t xml:space="preserve">p</t>
    </r>
    <r>
      <rPr>
        <sz val="10"/>
        <rFont val="Arial"/>
        <family val="2"/>
      </rPr>
      <t xml:space="preserve">-value of the test and other related parameters.</t>
    </r>
  </si>
  <si>
    <t xml:space="preserve">cor_rat_latent</t>
  </si>
  <si>
    <r>
      <rPr>
        <sz val="10"/>
        <rFont val="Arial"/>
        <family val="2"/>
      </rPr>
      <t xml:space="preserve">Result of cor.test(), containing the spearman correlation between (rank-transformed) pre-mri liking scores and the estimated latent liking scores (rank-transformed). Also stores the </t>
    </r>
    <r>
      <rPr>
        <i val="true"/>
        <sz val="10"/>
        <rFont val="Arial"/>
        <family val="2"/>
      </rPr>
      <t xml:space="preserve">p</t>
    </r>
    <r>
      <rPr>
        <sz val="10"/>
        <rFont val="Arial"/>
        <family val="2"/>
      </rPr>
      <t xml:space="preserve">-value of the test and other related parameters.</t>
    </r>
  </si>
  <si>
    <t xml:space="preserve">cor_lat_ranked</t>
  </si>
  <si>
    <r>
      <rPr>
        <sz val="10"/>
        <rFont val="Arial"/>
        <family val="2"/>
      </rPr>
      <t xml:space="preserve">Result of cor.test(), containing the spearman correlation between (rank-transformed) estimated latent liking scores and post-mri ranking scores. Also stores the </t>
    </r>
    <r>
      <rPr>
        <i val="true"/>
        <sz val="10"/>
        <rFont val="Arial"/>
        <family val="2"/>
      </rPr>
      <t xml:space="preserve">p</t>
    </r>
    <r>
      <rPr>
        <sz val="10"/>
        <rFont val="Arial"/>
        <family val="2"/>
      </rPr>
      <t xml:space="preserve">-value of the test and other related parameters.</t>
    </r>
  </si>
  <si>
    <t xml:space="preserve">liking_stages_long</t>
  </si>
  <si>
    <r>
      <rPr>
        <sz val="10"/>
        <rFont val="Arial"/>
        <family val="2"/>
      </rPr>
      <t xml:space="preserve">Long format of </t>
    </r>
    <r>
      <rPr>
        <i val="true"/>
        <sz val="10"/>
        <rFont val="Arial"/>
        <family val="2"/>
      </rPr>
      <t xml:space="preserve">liking_stages_df</t>
    </r>
    <r>
      <rPr>
        <sz val="10"/>
        <rFont val="Arial"/>
        <family val="2"/>
      </rPr>
      <t xml:space="preserve">. Used to visualize plots.</t>
    </r>
  </si>
  <si>
    <t xml:space="preserve">cor_samples_long</t>
  </si>
  <si>
    <r>
      <rPr>
        <sz val="10"/>
        <rFont val="Arial"/>
        <family val="2"/>
      </rPr>
      <t xml:space="preserve">Long format of </t>
    </r>
    <r>
      <rPr>
        <i val="true"/>
        <sz val="10"/>
        <rFont val="Arial"/>
        <family val="2"/>
      </rPr>
      <t xml:space="preserve">cor_samples_df</t>
    </r>
    <r>
      <rPr>
        <sz val="10"/>
        <rFont val="Arial"/>
        <family val="2"/>
      </rPr>
      <t xml:space="preserve">. Used to visualize plots.</t>
    </r>
  </si>
  <si>
    <t xml:space="preserve">mean_corr</t>
  </si>
  <si>
    <t xml:space="preserve">float</t>
  </si>
  <si>
    <t xml:space="preserve">Mean correlation across all samples and subjects of the predictive validity test (correlation between estimated latent liking scores and post-mri ranking scores). Includes outlier samples.</t>
  </si>
  <si>
    <t xml:space="preserve">pred_val_plot</t>
  </si>
  <si>
    <t xml:space="preserve">ggplot</t>
  </si>
  <si>
    <r>
      <rPr>
        <sz val="10"/>
        <rFont val="Arial"/>
        <family val="2"/>
      </rPr>
      <t xml:space="preserve">Density plot of all correlations from </t>
    </r>
    <r>
      <rPr>
        <i val="true"/>
        <sz val="10"/>
        <rFont val="Arial"/>
        <family val="2"/>
      </rPr>
      <t xml:space="preserve">cor_samples_long, </t>
    </r>
    <r>
      <rPr>
        <sz val="10"/>
        <rFont val="Arial"/>
        <family val="2"/>
      </rPr>
      <t xml:space="preserve">which essentially is the posterior distribution of the predictive validity of each subject. Subjects are color-coded.</t>
    </r>
  </si>
  <si>
    <t xml:space="preserve">cor_summary</t>
  </si>
  <si>
    <t xml:space="preserve">Summary dataframe of the mean and standard deviation of each subject’s posterior distribution. </t>
  </si>
  <si>
    <t xml:space="preserve">liking_stages_outliers</t>
  </si>
  <si>
    <t xml:space="preserve">Lists the correlations between liking scores across stages of the experiment, but only for the outliers. </t>
  </si>
  <si>
    <t xml:space="preserve">mean_k_fold_acc</t>
  </si>
  <si>
    <t xml:space="preserve">Mean accuracy of k-fold validation results. Also tested for significance and effect size.</t>
  </si>
  <si>
    <t xml:space="preserve">k_fold_plot</t>
  </si>
  <si>
    <r>
      <rPr>
        <sz val="10"/>
        <rFont val="Arial"/>
        <family val="2"/>
      </rPr>
      <t xml:space="preserve">Histogram showing the prediction accuracy of the model across all subjects and folds. Red dashed line indicates the mean accuracy (i.e., </t>
    </r>
    <r>
      <rPr>
        <i val="true"/>
        <sz val="10"/>
        <rFont val="Arial"/>
        <family val="2"/>
      </rPr>
      <t xml:space="preserve">mean_k_fold_acc</t>
    </r>
    <r>
      <rPr>
        <sz val="10"/>
        <rFont val="Arial"/>
        <family val="2"/>
      </rPr>
      <t xml:space="preserve">).</t>
    </r>
  </si>
</sst>
</file>

<file path=xl/styles.xml><?xml version="1.0" encoding="utf-8"?>
<styleSheet xmlns="http://schemas.openxmlformats.org/spreadsheetml/2006/main">
  <numFmts count="1">
    <numFmt numFmtId="164" formatCode="General"/>
  </numFmts>
  <fonts count="6">
    <font>
      <sz val="10"/>
      <name val="Arial"/>
      <family val="2"/>
    </font>
    <font>
      <sz val="10"/>
      <name val="Arial"/>
      <family val="0"/>
    </font>
    <font>
      <sz val="10"/>
      <name val="Arial"/>
      <family val="0"/>
    </font>
    <font>
      <sz val="10"/>
      <name val="Arial"/>
      <family val="0"/>
    </font>
    <font>
      <b val="true"/>
      <sz val="10"/>
      <name val="Arial"/>
      <family val="2"/>
    </font>
    <font>
      <i val="true"/>
      <sz val="10"/>
      <name val="Arial"/>
      <family val="2"/>
    </font>
  </fonts>
  <fills count="2">
    <fill>
      <patternFill patternType="none"/>
    </fill>
    <fill>
      <patternFill patternType="gray125"/>
    </fill>
  </fills>
  <borders count="10">
    <border diagonalUp="false" diagonalDown="false">
      <left/>
      <right/>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true" applyProtection="false">
      <alignment horizontal="general" vertical="bottom"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4" fontId="0" fillId="0" borderId="5" xfId="0" applyFont="true" applyBorder="true" applyAlignment="false" applyProtection="false">
      <alignment horizontal="general" vertical="bottom" textRotation="0" wrapText="false" indent="0" shrinkToFit="false"/>
      <protection locked="true" hidden="false"/>
    </xf>
    <xf numFmtId="164" fontId="0" fillId="0" borderId="6" xfId="0" applyFont="true" applyBorder="true" applyAlignment="true" applyProtection="false">
      <alignment horizontal="general" vertical="bottom" textRotation="0" wrapText="tru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5" fillId="0" borderId="8" xfId="0" applyFont="tru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selection pane="topLeft" activeCell="A11" activeCellId="0" sqref="A11"/>
    </sheetView>
  </sheetViews>
  <sheetFormatPr defaultColWidth="11.53515625" defaultRowHeight="12.8" customHeight="false" zeroHeight="false" outlineLevelRow="0" outlineLevelCol="0"/>
  <cols>
    <col collapsed="false" customWidth="true" hidden="false" outlineLevel="0" max="1" min="1" style="0" width="3.3"/>
    <col collapsed="false" customWidth="true" hidden="false" outlineLevel="0" max="2" min="2" style="0" width="14.93"/>
    <col collapsed="false" customWidth="true" hidden="false" outlineLevel="0" max="3" min="3" style="0" width="10.35"/>
    <col collapsed="false" customWidth="true" hidden="false" outlineLevel="0" max="4" min="4" style="1" width="82.97"/>
  </cols>
  <sheetData>
    <row r="1" customFormat="false" ht="12.8" hidden="false" customHeight="false" outlineLevel="0" collapsed="false">
      <c r="A1" s="2" t="s">
        <v>0</v>
      </c>
      <c r="B1" s="3" t="s">
        <v>1</v>
      </c>
      <c r="C1" s="3" t="s">
        <v>2</v>
      </c>
      <c r="D1" s="4" t="s">
        <v>3</v>
      </c>
    </row>
    <row r="2" customFormat="false" ht="23.45" hidden="false" customHeight="false" outlineLevel="0" collapsed="false">
      <c r="A2" s="5" t="n">
        <v>1</v>
      </c>
      <c r="B2" s="6" t="s">
        <v>4</v>
      </c>
      <c r="C2" s="7" t="s">
        <v>5</v>
      </c>
      <c r="D2" s="8" t="s">
        <v>6</v>
      </c>
    </row>
    <row r="3" customFormat="false" ht="12.8" hidden="false" customHeight="false" outlineLevel="0" collapsed="false">
      <c r="A3" s="5" t="n">
        <v>2</v>
      </c>
      <c r="B3" s="6" t="s">
        <v>7</v>
      </c>
      <c r="C3" s="7" t="s">
        <v>5</v>
      </c>
      <c r="D3" s="8" t="s">
        <v>8</v>
      </c>
    </row>
    <row r="4" customFormat="false" ht="23.45" hidden="false" customHeight="false" outlineLevel="0" collapsed="false">
      <c r="A4" s="5" t="n">
        <v>3</v>
      </c>
      <c r="B4" s="6" t="s">
        <v>9</v>
      </c>
      <c r="C4" s="7" t="s">
        <v>10</v>
      </c>
      <c r="D4" s="8" t="s">
        <v>11</v>
      </c>
    </row>
    <row r="5" customFormat="false" ht="23.45" hidden="false" customHeight="false" outlineLevel="0" collapsed="false">
      <c r="A5" s="5" t="n">
        <v>4</v>
      </c>
      <c r="B5" s="6" t="s">
        <v>12</v>
      </c>
      <c r="C5" s="7" t="s">
        <v>13</v>
      </c>
      <c r="D5" s="8" t="s">
        <v>14</v>
      </c>
    </row>
    <row r="6" customFormat="false" ht="101.8" hidden="false" customHeight="false" outlineLevel="0" collapsed="false">
      <c r="A6" s="5" t="n">
        <v>5</v>
      </c>
      <c r="B6" s="6" t="s">
        <v>15</v>
      </c>
      <c r="C6" s="7" t="s">
        <v>10</v>
      </c>
      <c r="D6" s="8" t="s">
        <v>16</v>
      </c>
    </row>
    <row r="7" customFormat="false" ht="23.45" hidden="false" customHeight="false" outlineLevel="0" collapsed="false">
      <c r="A7" s="5" t="n">
        <v>6</v>
      </c>
      <c r="B7" s="6" t="s">
        <v>17</v>
      </c>
      <c r="C7" s="7" t="s">
        <v>10</v>
      </c>
      <c r="D7" s="8" t="s">
        <v>18</v>
      </c>
    </row>
    <row r="8" customFormat="false" ht="12.8" hidden="false" customHeight="false" outlineLevel="0" collapsed="false">
      <c r="A8" s="5" t="n">
        <v>7</v>
      </c>
      <c r="B8" s="6" t="s">
        <v>19</v>
      </c>
      <c r="C8" s="7" t="s">
        <v>10</v>
      </c>
      <c r="D8" s="8" t="s">
        <v>20</v>
      </c>
    </row>
    <row r="9" customFormat="false" ht="23.45" hidden="false" customHeight="false" outlineLevel="0" collapsed="false">
      <c r="A9" s="5" t="n">
        <v>8</v>
      </c>
      <c r="B9" s="6" t="s">
        <v>21</v>
      </c>
      <c r="C9" s="7" t="s">
        <v>22</v>
      </c>
      <c r="D9" s="8" t="s">
        <v>23</v>
      </c>
    </row>
    <row r="10" customFormat="false" ht="23.45" hidden="false" customHeight="false" outlineLevel="0" collapsed="false">
      <c r="A10" s="9" t="n">
        <v>9</v>
      </c>
      <c r="B10" s="10" t="s">
        <v>24</v>
      </c>
      <c r="C10" s="11" t="s">
        <v>13</v>
      </c>
      <c r="D10" s="12" t="s">
        <v>25</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5" activeCellId="0" sqref="A5"/>
    </sheetView>
  </sheetViews>
  <sheetFormatPr defaultColWidth="11.53515625" defaultRowHeight="12.8" customHeight="false" zeroHeight="false" outlineLevelRow="0" outlineLevelCol="0"/>
  <cols>
    <col collapsed="false" customWidth="true" hidden="false" outlineLevel="0" max="1" min="1" style="0" width="7.05"/>
    <col collapsed="false" customWidth="true" hidden="false" outlineLevel="0" max="2" min="2" style="0" width="12.81"/>
    <col collapsed="false" customWidth="true" hidden="false" outlineLevel="0" max="4" min="4" style="1" width="54.45"/>
  </cols>
  <sheetData>
    <row r="1" customFormat="false" ht="12.8" hidden="false" customHeight="false" outlineLevel="0" collapsed="false">
      <c r="A1" s="2" t="s">
        <v>0</v>
      </c>
      <c r="B1" s="3" t="s">
        <v>1</v>
      </c>
      <c r="C1" s="3" t="s">
        <v>2</v>
      </c>
      <c r="D1" s="4" t="s">
        <v>3</v>
      </c>
    </row>
    <row r="2" customFormat="false" ht="34.6" hidden="false" customHeight="false" outlineLevel="0" collapsed="false">
      <c r="A2" s="5" t="n">
        <f aca="false">'1_preprocessing'!A10 +1</f>
        <v>10</v>
      </c>
      <c r="B2" s="7" t="s">
        <v>26</v>
      </c>
      <c r="C2" s="7" t="s">
        <v>27</v>
      </c>
      <c r="D2" s="8" t="s">
        <v>28</v>
      </c>
    </row>
    <row r="3" customFormat="false" ht="12.8" hidden="false" customHeight="false" outlineLevel="0" collapsed="false">
      <c r="A3" s="5" t="n">
        <f aca="false">A2 + 1</f>
        <v>11</v>
      </c>
      <c r="B3" s="7" t="s">
        <v>29</v>
      </c>
      <c r="C3" s="7" t="s">
        <v>30</v>
      </c>
      <c r="D3" s="8" t="s">
        <v>31</v>
      </c>
    </row>
    <row r="4" customFormat="false" ht="34.6" hidden="false" customHeight="false" outlineLevel="0" collapsed="false">
      <c r="A4" s="9" t="n">
        <f aca="false">A3 + 1</f>
        <v>12</v>
      </c>
      <c r="B4" s="11" t="s">
        <v>32</v>
      </c>
      <c r="C4" s="11" t="s">
        <v>10</v>
      </c>
      <c r="D4" s="12" t="s">
        <v>33</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D3" activeCellId="0" sqref="D3"/>
    </sheetView>
  </sheetViews>
  <sheetFormatPr defaultColWidth="11.53515625" defaultRowHeight="12.8" customHeight="false" zeroHeight="false" outlineLevelRow="0" outlineLevelCol="0"/>
  <cols>
    <col collapsed="false" customWidth="true" hidden="false" outlineLevel="0" max="2" min="2" style="13" width="16.71"/>
    <col collapsed="false" customWidth="true" hidden="false" outlineLevel="0" max="3" min="3" style="0" width="13.43"/>
    <col collapsed="false" customWidth="true" hidden="false" outlineLevel="0" max="4" min="4" style="1" width="77.11"/>
  </cols>
  <sheetData>
    <row r="1" customFormat="false" ht="12.8" hidden="false" customHeight="false" outlineLevel="0" collapsed="false">
      <c r="A1" s="2" t="s">
        <v>0</v>
      </c>
      <c r="B1" s="3" t="s">
        <v>1</v>
      </c>
      <c r="C1" s="3" t="s">
        <v>2</v>
      </c>
      <c r="D1" s="4" t="s">
        <v>3</v>
      </c>
    </row>
    <row r="2" customFormat="false" ht="12.8" hidden="false" customHeight="false" outlineLevel="0" collapsed="false">
      <c r="A2" s="5" t="n">
        <f aca="false">'2_JAGS_setup_initialization'!A4+1</f>
        <v>13</v>
      </c>
      <c r="B2" s="6" t="s">
        <v>34</v>
      </c>
      <c r="C2" s="7" t="s">
        <v>10</v>
      </c>
      <c r="D2" s="8" t="s">
        <v>35</v>
      </c>
    </row>
    <row r="3" customFormat="false" ht="79.4" hidden="false" customHeight="false" outlineLevel="0" collapsed="false">
      <c r="A3" s="5" t="n">
        <f aca="false">A2+1</f>
        <v>14</v>
      </c>
      <c r="B3" s="6" t="s">
        <v>36</v>
      </c>
      <c r="C3" s="7" t="s">
        <v>37</v>
      </c>
      <c r="D3" s="8" t="s">
        <v>38</v>
      </c>
    </row>
    <row r="4" customFormat="false" ht="23.45" hidden="false" customHeight="false" outlineLevel="0" collapsed="false">
      <c r="A4" s="5" t="n">
        <f aca="false">A3+1</f>
        <v>15</v>
      </c>
      <c r="B4" s="6" t="s">
        <v>39</v>
      </c>
      <c r="C4" s="7" t="s">
        <v>37</v>
      </c>
      <c r="D4" s="8" t="s">
        <v>40</v>
      </c>
    </row>
    <row r="5" customFormat="false" ht="12.8" hidden="false" customHeight="false" outlineLevel="0" collapsed="false">
      <c r="A5" s="5" t="n">
        <f aca="false">A4+1</f>
        <v>16</v>
      </c>
      <c r="B5" s="6" t="s">
        <v>41</v>
      </c>
      <c r="C5" s="7" t="s">
        <v>10</v>
      </c>
      <c r="D5" s="8" t="s">
        <v>42</v>
      </c>
    </row>
    <row r="6" customFormat="false" ht="12.8" hidden="false" customHeight="false" outlineLevel="0" collapsed="false">
      <c r="A6" s="5" t="n">
        <f aca="false">A5+1</f>
        <v>17</v>
      </c>
      <c r="B6" s="6" t="s">
        <v>43</v>
      </c>
      <c r="C6" s="7" t="s">
        <v>5</v>
      </c>
      <c r="D6" s="8" t="s">
        <v>44</v>
      </c>
    </row>
    <row r="7" customFormat="false" ht="12.8" hidden="false" customHeight="false" outlineLevel="0" collapsed="false">
      <c r="A7" s="5" t="n">
        <f aca="false">A6+1</f>
        <v>18</v>
      </c>
      <c r="B7" s="6" t="s">
        <v>45</v>
      </c>
      <c r="C7" s="7" t="s">
        <v>30</v>
      </c>
      <c r="D7" s="8" t="s">
        <v>46</v>
      </c>
    </row>
    <row r="8" customFormat="false" ht="12.8" hidden="false" customHeight="false" outlineLevel="0" collapsed="false">
      <c r="A8" s="5" t="n">
        <f aca="false">A7+1</f>
        <v>19</v>
      </c>
      <c r="B8" s="6" t="s">
        <v>47</v>
      </c>
      <c r="C8" s="7" t="s">
        <v>30</v>
      </c>
      <c r="D8" s="8" t="s">
        <v>48</v>
      </c>
    </row>
    <row r="9" customFormat="false" ht="12.8" hidden="false" customHeight="false" outlineLevel="0" collapsed="false">
      <c r="A9" s="5" t="n">
        <f aca="false">A8+1</f>
        <v>20</v>
      </c>
      <c r="B9" s="6" t="s">
        <v>49</v>
      </c>
      <c r="C9" s="7" t="s">
        <v>30</v>
      </c>
      <c r="D9" s="8" t="s">
        <v>50</v>
      </c>
    </row>
    <row r="10" customFormat="false" ht="12.8" hidden="false" customHeight="false" outlineLevel="0" collapsed="false">
      <c r="A10" s="9" t="n">
        <f aca="false">A9+1</f>
        <v>21</v>
      </c>
      <c r="B10" s="10" t="s">
        <v>51</v>
      </c>
      <c r="C10" s="11" t="s">
        <v>52</v>
      </c>
      <c r="D10" s="12" t="s">
        <v>53</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6.35"/>
    <col collapsed="false" customWidth="true" hidden="false" outlineLevel="0" max="2" min="2" style="13" width="15.32"/>
    <col collapsed="false" customWidth="true" hidden="false" outlineLevel="0" max="3" min="3" style="0" width="10.06"/>
    <col collapsed="false" customWidth="true" hidden="false" outlineLevel="0" max="4" min="4" style="1" width="72.84"/>
  </cols>
  <sheetData>
    <row r="1" customFormat="false" ht="12.8" hidden="false" customHeight="false" outlineLevel="0" collapsed="false">
      <c r="A1" s="2" t="s">
        <v>0</v>
      </c>
      <c r="B1" s="3" t="s">
        <v>1</v>
      </c>
      <c r="C1" s="3" t="s">
        <v>2</v>
      </c>
      <c r="D1" s="4" t="s">
        <v>3</v>
      </c>
    </row>
    <row r="2" customFormat="false" ht="35.05" hidden="false" customHeight="false" outlineLevel="0" collapsed="false">
      <c r="A2" s="5" t="n">
        <f aca="false">'3_JAGS_run_estimation'!A10</f>
        <v>21</v>
      </c>
      <c r="B2" s="6" t="s">
        <v>54</v>
      </c>
      <c r="C2" s="7" t="s">
        <v>10</v>
      </c>
      <c r="D2" s="8" t="s">
        <v>55</v>
      </c>
    </row>
    <row r="3" customFormat="false" ht="35.05" hidden="false" customHeight="false" outlineLevel="0" collapsed="false">
      <c r="A3" s="5" t="n">
        <f aca="false">A2+1</f>
        <v>22</v>
      </c>
      <c r="B3" s="6" t="s">
        <v>56</v>
      </c>
      <c r="C3" s="7" t="s">
        <v>13</v>
      </c>
      <c r="D3" s="8" t="s">
        <v>57</v>
      </c>
    </row>
    <row r="4" customFormat="false" ht="35.05" hidden="false" customHeight="false" outlineLevel="0" collapsed="false">
      <c r="A4" s="5" t="n">
        <f aca="false">A3+1</f>
        <v>23</v>
      </c>
      <c r="B4" s="6" t="s">
        <v>58</v>
      </c>
      <c r="C4" s="7" t="s">
        <v>13</v>
      </c>
      <c r="D4" s="8" t="s">
        <v>59</v>
      </c>
    </row>
    <row r="5" customFormat="false" ht="23.45" hidden="false" customHeight="false" outlineLevel="0" collapsed="false">
      <c r="A5" s="5" t="n">
        <f aca="false">A4+1</f>
        <v>24</v>
      </c>
      <c r="B5" s="6" t="s">
        <v>60</v>
      </c>
      <c r="C5" s="7" t="s">
        <v>13</v>
      </c>
      <c r="D5" s="8" t="s">
        <v>61</v>
      </c>
    </row>
    <row r="6" customFormat="false" ht="23.45" hidden="false" customHeight="false" outlineLevel="0" collapsed="false">
      <c r="A6" s="9" t="n">
        <f aca="false">A5+1</f>
        <v>25</v>
      </c>
      <c r="B6" s="10" t="s">
        <v>62</v>
      </c>
      <c r="C6" s="11" t="s">
        <v>10</v>
      </c>
      <c r="D6" s="12" t="s">
        <v>63</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E26" activeCellId="0" sqref="E26"/>
    </sheetView>
  </sheetViews>
  <sheetFormatPr defaultColWidth="11.53515625" defaultRowHeight="12.8" customHeight="false" zeroHeight="false" outlineLevelRow="0" outlineLevelCol="0"/>
  <cols>
    <col collapsed="false" customWidth="true" hidden="false" outlineLevel="0" max="1" min="1" style="0" width="6.96"/>
    <col collapsed="false" customWidth="true" hidden="false" outlineLevel="0" max="2" min="2" style="13" width="14.4"/>
    <col collapsed="false" customWidth="true" hidden="false" outlineLevel="0" max="3" min="3" style="0" width="11.25"/>
    <col collapsed="false" customWidth="true" hidden="false" outlineLevel="0" max="4" min="4" style="1" width="58.73"/>
  </cols>
  <sheetData>
    <row r="1" customFormat="false" ht="12.8" hidden="false" customHeight="false" outlineLevel="0" collapsed="false">
      <c r="A1" s="2" t="s">
        <v>0</v>
      </c>
      <c r="B1" s="3" t="s">
        <v>1</v>
      </c>
      <c r="C1" s="3" t="s">
        <v>2</v>
      </c>
      <c r="D1" s="4" t="s">
        <v>3</v>
      </c>
    </row>
    <row r="2" customFormat="false" ht="12.8" hidden="false" customHeight="false" outlineLevel="0" collapsed="false">
      <c r="A2" s="5" t="n">
        <f aca="false">'4_predictive_validity'!A6</f>
        <v>25</v>
      </c>
      <c r="B2" s="6" t="s">
        <v>64</v>
      </c>
      <c r="C2" s="7" t="s">
        <v>30</v>
      </c>
      <c r="D2" s="8" t="s">
        <v>65</v>
      </c>
    </row>
    <row r="3" customFormat="false" ht="12.8" hidden="false" customHeight="false" outlineLevel="0" collapsed="false">
      <c r="A3" s="5" t="n">
        <f aca="false">A2+1</f>
        <v>26</v>
      </c>
      <c r="B3" s="6" t="s">
        <v>66</v>
      </c>
      <c r="C3" s="7" t="s">
        <v>37</v>
      </c>
      <c r="D3" s="8" t="s">
        <v>67</v>
      </c>
    </row>
    <row r="4" customFormat="false" ht="23.45" hidden="false" customHeight="false" outlineLevel="0" collapsed="false">
      <c r="A4" s="5" t="n">
        <f aca="false">A3+1</f>
        <v>27</v>
      </c>
      <c r="B4" s="6" t="s">
        <v>68</v>
      </c>
      <c r="C4" s="7" t="s">
        <v>10</v>
      </c>
      <c r="D4" s="8" t="s">
        <v>69</v>
      </c>
    </row>
    <row r="5" customFormat="false" ht="12.8" hidden="false" customHeight="false" outlineLevel="0" collapsed="false">
      <c r="A5" s="5" t="n">
        <f aca="false">A4+1</f>
        <v>28</v>
      </c>
      <c r="B5" s="6" t="s">
        <v>70</v>
      </c>
      <c r="C5" s="7" t="s">
        <v>13</v>
      </c>
      <c r="D5" s="8" t="s">
        <v>71</v>
      </c>
    </row>
    <row r="6" customFormat="false" ht="12.8" hidden="false" customHeight="false" outlineLevel="0" collapsed="false">
      <c r="A6" s="5" t="n">
        <f aca="false">A5+1</f>
        <v>29</v>
      </c>
      <c r="B6" s="6" t="s">
        <v>72</v>
      </c>
      <c r="C6" s="7" t="s">
        <v>13</v>
      </c>
      <c r="D6" s="8" t="s">
        <v>71</v>
      </c>
    </row>
    <row r="7" customFormat="false" ht="12.8" hidden="false" customHeight="false" outlineLevel="0" collapsed="false">
      <c r="A7" s="5" t="n">
        <f aca="false">A6+1</f>
        <v>30</v>
      </c>
      <c r="B7" s="6" t="s">
        <v>73</v>
      </c>
      <c r="C7" s="7" t="s">
        <v>74</v>
      </c>
      <c r="D7" s="8" t="s">
        <v>75</v>
      </c>
    </row>
    <row r="8" customFormat="false" ht="12.8" hidden="false" customHeight="false" outlineLevel="0" collapsed="false">
      <c r="A8" s="5" t="n">
        <f aca="false">A7+1</f>
        <v>31</v>
      </c>
      <c r="B8" s="6" t="s">
        <v>76</v>
      </c>
      <c r="C8" s="7" t="s">
        <v>13</v>
      </c>
      <c r="D8" s="8" t="s">
        <v>77</v>
      </c>
    </row>
    <row r="9" customFormat="false" ht="34.6" hidden="false" customHeight="false" outlineLevel="0" collapsed="false">
      <c r="A9" s="5" t="n">
        <f aca="false">A8+1</f>
        <v>32</v>
      </c>
      <c r="B9" s="6" t="s">
        <v>78</v>
      </c>
      <c r="C9" s="7" t="s">
        <v>10</v>
      </c>
      <c r="D9" s="8" t="s">
        <v>79</v>
      </c>
    </row>
    <row r="10" customFormat="false" ht="23.45" hidden="false" customHeight="false" outlineLevel="0" collapsed="false">
      <c r="A10" s="9" t="n">
        <f aca="false">A9+1</f>
        <v>33</v>
      </c>
      <c r="B10" s="10" t="s">
        <v>80</v>
      </c>
      <c r="C10" s="11" t="s">
        <v>13</v>
      </c>
      <c r="D10" s="12" t="s">
        <v>81</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40" zoomScaleNormal="140" zoomScalePageLayoutView="100" workbookViewId="0">
      <selection pane="topLeft" activeCell="H4" activeCellId="0" sqref="H4"/>
    </sheetView>
  </sheetViews>
  <sheetFormatPr defaultColWidth="11.53515625" defaultRowHeight="12.8" customHeight="false" zeroHeight="false" outlineLevelRow="0" outlineLevelCol="0"/>
  <cols>
    <col collapsed="false" customWidth="true" hidden="false" outlineLevel="0" max="1" min="1" style="0" width="7.75"/>
    <col collapsed="false" customWidth="true" hidden="false" outlineLevel="0" max="2" min="2" style="13" width="19.89"/>
    <col collapsed="false" customWidth="true" hidden="false" outlineLevel="0" max="3" min="3" style="0" width="9.94"/>
    <col collapsed="false" customWidth="true" hidden="false" outlineLevel="0" max="4" min="4" style="1" width="52.29"/>
  </cols>
  <sheetData>
    <row r="1" customFormat="false" ht="12.8" hidden="false" customHeight="false" outlineLevel="0" collapsed="false">
      <c r="A1" s="2" t="s">
        <v>0</v>
      </c>
      <c r="B1" s="3" t="s">
        <v>1</v>
      </c>
      <c r="C1" s="3" t="s">
        <v>2</v>
      </c>
      <c r="D1" s="4" t="s">
        <v>3</v>
      </c>
    </row>
    <row r="2" customFormat="false" ht="34.6" hidden="false" customHeight="false" outlineLevel="0" collapsed="false">
      <c r="A2" s="14" t="n">
        <f aca="false">'5_k_fold_validation'!A10</f>
        <v>33</v>
      </c>
      <c r="B2" s="15" t="s">
        <v>82</v>
      </c>
      <c r="C2" s="16" t="s">
        <v>13</v>
      </c>
      <c r="D2" s="17" t="s">
        <v>83</v>
      </c>
    </row>
    <row r="3" customFormat="false" ht="45.8" hidden="false" customHeight="false" outlineLevel="0" collapsed="false">
      <c r="A3" s="5" t="n">
        <f aca="false">A2+1</f>
        <v>34</v>
      </c>
      <c r="B3" s="6" t="s">
        <v>84</v>
      </c>
      <c r="C3" s="7" t="s">
        <v>10</v>
      </c>
      <c r="D3" s="8" t="s">
        <v>85</v>
      </c>
    </row>
    <row r="4" customFormat="false" ht="45.8" hidden="false" customHeight="false" outlineLevel="0" collapsed="false">
      <c r="A4" s="5" t="n">
        <f aca="false">A3+1</f>
        <v>35</v>
      </c>
      <c r="B4" s="6" t="s">
        <v>86</v>
      </c>
      <c r="C4" s="7" t="s">
        <v>10</v>
      </c>
      <c r="D4" s="8" t="s">
        <v>87</v>
      </c>
    </row>
    <row r="5" customFormat="false" ht="45.8" hidden="false" customHeight="false" outlineLevel="0" collapsed="false">
      <c r="A5" s="5" t="n">
        <f aca="false">A4+1</f>
        <v>36</v>
      </c>
      <c r="B5" s="6" t="s">
        <v>88</v>
      </c>
      <c r="C5" s="7"/>
      <c r="D5" s="8" t="s">
        <v>89</v>
      </c>
    </row>
    <row r="6" customFormat="false" ht="12.8" hidden="false" customHeight="false" outlineLevel="0" collapsed="false">
      <c r="A6" s="5" t="n">
        <f aca="false">A5+1</f>
        <v>37</v>
      </c>
      <c r="B6" s="6" t="s">
        <v>90</v>
      </c>
      <c r="C6" s="7" t="s">
        <v>13</v>
      </c>
      <c r="D6" s="8" t="s">
        <v>91</v>
      </c>
    </row>
    <row r="7" customFormat="false" ht="12.8" hidden="false" customHeight="false" outlineLevel="0" collapsed="false">
      <c r="A7" s="5" t="n">
        <f aca="false">A6+1</f>
        <v>38</v>
      </c>
      <c r="B7" s="6" t="s">
        <v>92</v>
      </c>
      <c r="C7" s="7" t="s">
        <v>13</v>
      </c>
      <c r="D7" s="8" t="s">
        <v>93</v>
      </c>
    </row>
    <row r="8" customFormat="false" ht="45.8" hidden="false" customHeight="false" outlineLevel="0" collapsed="false">
      <c r="A8" s="5" t="n">
        <f aca="false">A7+1</f>
        <v>39</v>
      </c>
      <c r="B8" s="6" t="s">
        <v>94</v>
      </c>
      <c r="C8" s="7" t="s">
        <v>95</v>
      </c>
      <c r="D8" s="8" t="s">
        <v>96</v>
      </c>
    </row>
    <row r="9" customFormat="false" ht="34.6" hidden="false" customHeight="false" outlineLevel="0" collapsed="false">
      <c r="A9" s="5" t="n">
        <f aca="false">A8+1</f>
        <v>40</v>
      </c>
      <c r="B9" s="6" t="s">
        <v>97</v>
      </c>
      <c r="C9" s="7" t="s">
        <v>98</v>
      </c>
      <c r="D9" s="8" t="s">
        <v>99</v>
      </c>
    </row>
    <row r="10" customFormat="false" ht="23.45" hidden="false" customHeight="false" outlineLevel="0" collapsed="false">
      <c r="A10" s="5" t="n">
        <f aca="false">A9+1</f>
        <v>41</v>
      </c>
      <c r="B10" s="6" t="s">
        <v>100</v>
      </c>
      <c r="C10" s="7" t="s">
        <v>13</v>
      </c>
      <c r="D10" s="8" t="s">
        <v>101</v>
      </c>
    </row>
    <row r="11" customFormat="false" ht="23.45" hidden="false" customHeight="false" outlineLevel="0" collapsed="false">
      <c r="A11" s="5" t="n">
        <f aca="false">A10+1</f>
        <v>42</v>
      </c>
      <c r="B11" s="6" t="s">
        <v>102</v>
      </c>
      <c r="C11" s="7" t="s">
        <v>13</v>
      </c>
      <c r="D11" s="8" t="s">
        <v>103</v>
      </c>
    </row>
    <row r="12" customFormat="false" ht="23.45" hidden="false" customHeight="false" outlineLevel="0" collapsed="false">
      <c r="A12" s="5" t="n">
        <f aca="false">A11+1</f>
        <v>43</v>
      </c>
      <c r="B12" s="6" t="s">
        <v>104</v>
      </c>
      <c r="C12" s="7" t="s">
        <v>95</v>
      </c>
      <c r="D12" s="8" t="s">
        <v>105</v>
      </c>
    </row>
    <row r="13" customFormat="false" ht="34.6" hidden="false" customHeight="false" outlineLevel="0" collapsed="false">
      <c r="A13" s="9" t="n">
        <f aca="false">A12+1</f>
        <v>44</v>
      </c>
      <c r="B13" s="10" t="s">
        <v>106</v>
      </c>
      <c r="C13" s="11" t="s">
        <v>98</v>
      </c>
      <c r="D13" s="12" t="s">
        <v>107</v>
      </c>
    </row>
  </sheetData>
  <printOptions headings="false" gridLines="false" gridLinesSet="true" horizontalCentered="false" verticalCentered="false"/>
  <pageMargins left="0.7875" right="0.7875" top="1.025" bottom="1.025"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305</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2026-09-08T17:27:01Z</dcterms:created>
  <dc:creator/>
  <dc:description/>
  <dc:language>en-US</dc:language>
  <cp:lastModifiedBy/>
  <dcterms:modified xsi:type="dcterms:W3CDTF">2026-09-11T20:47:26Z</dcterms:modified>
  <cp:revision>35</cp:revision>
  <dc:subject/>
  <dc:title/>
</cp:coreProperties>
</file>